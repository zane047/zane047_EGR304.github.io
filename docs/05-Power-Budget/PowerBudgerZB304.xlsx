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<sst xmlns="http://schemas.openxmlformats.org/spreadsheetml/2006/main" count="85" uniqueCount="49">
  <si>
    <t>Power Budget</t>
  </si>
  <si>
    <t>Team Number:</t>
  </si>
  <si>
    <t>Project Name:</t>
  </si>
  <si>
    <t>EGR 304 Project</t>
  </si>
  <si>
    <t>Team Member Names:</t>
  </si>
  <si>
    <t>Zane, Muhir, Adrian</t>
  </si>
  <si>
    <t>Version:</t>
  </si>
  <si>
    <t>#1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</si>
  <si>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</si>
  <si>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</si>
  <si>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</si>
  <si>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</si>
  <si>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</si>
  <si>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</si>
  <si>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 (mA)</t>
  </si>
  <si>
    <t>Unit</t>
  </si>
  <si>
    <t>MicroController</t>
  </si>
  <si>
    <t>PIC18F57Q43-CNANO</t>
  </si>
  <si>
    <t>mA</t>
  </si>
  <si>
    <t>LM7805CV</t>
  </si>
  <si>
    <t>Temperature Sensor</t>
  </si>
  <si>
    <t>TMP36</t>
  </si>
  <si>
    <t>2.7-5.5V</t>
  </si>
  <si>
    <t>Supply
 Voltage
 Range</t>
  </si>
  <si>
    <t>Absolute
 Maximum
 Current (mA)</t>
  </si>
  <si>
    <t>Total
 Current
 (mA)</t>
  </si>
  <si>
    <t>Subtotal</t>
  </si>
  <si>
    <t>Safety Margin</t>
  </si>
  <si>
    <t>Total Current Required on +5V Rail</t>
  </si>
  <si>
    <t>Regulator</t>
  </si>
  <si>
    <t>(range)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</si>
  <si>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</si>
  <si>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</si>
  <si>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</si>
  <si>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</si>
  <si>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</si>
  <si>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(full part number)</t>
  </si>
  <si>
    <t>12VAC</t>
  </si>
  <si>
    <t>Power Rails Connected to External Power Source 1</t>
  </si>
  <si>
    <t>LM7805</t>
  </si>
  <si>
    <t>Total Remaining Current Available on External Power Source 1</t>
  </si>
  <si>
    <t>Calculated Battery Life</t>
  </si>
  <si>
    <t>Capacity
 (mAh)</t>
  </si>
  <si>
    <t>Required
 By
 Regulators</t>
  </si>
  <si>
    <t>n/a</t>
  </si>
  <si>
    <t>hours</t>
  </si>
  <si>
    <t>Battery Life</t>
  </si>
  <si>
    <t>Notes:</t>
  </si>
  <si>
    <t>External Supply Voltage should be determined by the dropout voltage for highest-voltage regulator (e.g., +14V for a +12V regulator).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</si>
</sst>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i/>
      <sz val="12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shrinkToFit="0" wrapText="0"/>
    </xf>
    <xf borderId="2" fillId="3" fontId="3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/>
    </xf>
    <xf borderId="6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horizontal="right" shrinkToFit="0" vertical="bottom" wrapText="0"/>
    </xf>
    <xf borderId="5" fillId="0" fontId="6" numFmtId="0" xfId="0" applyBorder="1" applyFont="1"/>
    <xf borderId="8" fillId="0" fontId="6" numFmtId="0" xfId="0" applyBorder="1" applyFont="1"/>
    <xf borderId="9" fillId="0" fontId="5" numFmtId="0" xfId="0" applyAlignment="1" applyBorder="1" applyFont="1">
      <alignment horizontal="right" shrinkToFit="0" vertical="bottom" wrapText="0"/>
    </xf>
    <xf borderId="10" fillId="0" fontId="6" numFmtId="0" xfId="0" applyBorder="1" applyFont="1"/>
    <xf borderId="11" fillId="0" fontId="6" numFmtId="0" xfId="0" applyBorder="1" applyFont="1"/>
    <xf borderId="3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ont="1">
      <alignment shrinkToFit="0" wrapText="0"/>
    </xf>
    <xf borderId="7" fillId="0" fontId="5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4" fillId="0" fontId="2" numFmtId="9" xfId="0" applyAlignment="1" applyBorder="1" applyFont="1" applyNumberFormat="1">
      <alignment horizontal="center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14" fillId="0" fontId="5" numFmtId="0" xfId="0" applyAlignment="1" applyBorder="1" applyFont="1">
      <alignment horizontal="right" readingOrder="0" shrinkToFit="0" vertical="bottom" wrapText="0"/>
    </xf>
    <xf borderId="15" fillId="0" fontId="6" numFmtId="0" xfId="0" applyBorder="1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6" fillId="0" fontId="5" numFmtId="0" xfId="0" applyAlignment="1" applyBorder="1" applyFont="1">
      <alignment horizontal="center" shrinkToFit="0" vertical="bottom" wrapText="0"/>
    </xf>
    <xf borderId="2" fillId="4" fontId="3" numFmtId="0" xfId="0" applyAlignment="1" applyBorder="1" applyFill="1" applyFont="1">
      <alignment horizontal="center" shrinkToFit="0" wrapText="0"/>
    </xf>
    <xf borderId="2" fillId="3" fontId="5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horizontal="left" readingOrder="0" shrinkToFit="0" vertical="bottom" wrapText="0"/>
    </xf>
    <xf borderId="6" fillId="0" fontId="2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17" fillId="0" fontId="3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vertical="bottom" wrapText="0"/>
    </xf>
    <xf borderId="13" fillId="0" fontId="6" numFmtId="0" xfId="0" applyBorder="1" applyFont="1"/>
    <xf borderId="4" fillId="0" fontId="2" numFmtId="0" xfId="0" applyAlignment="1" applyBorder="1" applyFont="1">
      <alignment horizontal="center" readingOrder="0" shrinkToFit="0" wrapText="0"/>
    </xf>
    <xf borderId="6" fillId="0" fontId="6" numFmtId="0" xfId="0" applyBorder="1" applyFont="1"/>
    <xf borderId="4" fillId="0" fontId="2" numFmtId="0" xfId="0" applyAlignment="1" applyBorder="1" applyFont="1">
      <alignment horizontal="center" shrinkToFit="0" wrapText="0"/>
    </xf>
    <xf borderId="2" fillId="4" fontId="5" numFmtId="0" xfId="0" applyAlignment="1" applyBorder="1" applyFont="1">
      <alignment horizontal="center" shrinkToFit="0" vertical="bottom" wrapText="0"/>
    </xf>
    <xf borderId="1" fillId="5" fontId="5" numFmtId="0" xfId="0" applyAlignment="1" applyBorder="1" applyFill="1" applyFont="1">
      <alignment readingOrder="0" vertical="bottom"/>
    </xf>
    <xf borderId="16" fillId="0" fontId="6" numFmtId="0" xfId="0" applyBorder="1" applyFont="1"/>
    <xf borderId="2" fillId="5" fontId="5" numFmtId="0" xfId="0" applyAlignment="1" applyBorder="1" applyFont="1">
      <alignment horizontal="center" shrinkToFit="0" vertical="bottom" wrapText="0"/>
    </xf>
    <xf borderId="2" fillId="3" fontId="3" numFmtId="0" xfId="0" applyAlignment="1" applyBorder="1" applyFont="1">
      <alignment shrinkToFit="0" wrapText="0"/>
    </xf>
    <xf borderId="2" fillId="3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18" fillId="4" fontId="2" numFmtId="0" xfId="0" applyAlignment="1" applyBorder="1" applyFont="1">
      <alignment horizontal="center" shrinkToFit="0" vertical="bottom" wrapText="0"/>
    </xf>
    <xf borderId="19" fillId="5" fontId="5" numFmtId="0" xfId="0" applyAlignment="1" applyBorder="1" applyFont="1">
      <alignment readingOrder="0" shrinkToFit="0" vertical="bottom" wrapText="0"/>
    </xf>
    <xf borderId="12" fillId="0" fontId="6" numFmtId="0" xfId="0" applyBorder="1" applyFont="1"/>
    <xf borderId="12" fillId="5" fontId="2" numFmtId="0" xfId="0" applyAlignment="1" applyBorder="1" applyFont="1">
      <alignment horizontal="center" shrinkToFit="0" vertical="bottom" wrapText="0"/>
    </xf>
    <xf borderId="18" fillId="5" fontId="2" numFmtId="0" xfId="0" applyAlignment="1" applyBorder="1" applyFont="1">
      <alignment horizontal="center" shrinkToFit="0" vertical="bottom" wrapText="0"/>
    </xf>
    <xf borderId="19" fillId="0" fontId="2" numFmtId="0" xfId="0" applyAlignment="1" applyBorder="1" applyFont="1">
      <alignment readingOrder="0" vertical="bottom"/>
    </xf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2"/>
      <c r="J1" s="2"/>
    </row>
    <row r="2">
      <c r="A2" s="3" t="s">
        <v>1</v>
      </c>
      <c r="B2" s="4">
        <v>206.0</v>
      </c>
      <c r="C2" s="2"/>
      <c r="D2" s="5"/>
      <c r="E2" s="5"/>
      <c r="F2" s="6"/>
      <c r="G2" s="6"/>
      <c r="H2" s="6"/>
      <c r="I2" s="2"/>
      <c r="J2" s="2"/>
    </row>
    <row r="3">
      <c r="A3" s="3" t="s">
        <v>2</v>
      </c>
      <c r="B3" s="7" t="s">
        <v>3</v>
      </c>
      <c r="C3" s="8"/>
      <c r="D3" s="5"/>
      <c r="E3" s="5"/>
      <c r="F3" s="5"/>
      <c r="G3" s="5"/>
      <c r="H3" s="5"/>
      <c r="I3" s="2"/>
      <c r="J3" s="2"/>
    </row>
    <row r="4">
      <c r="A4" s="3" t="s">
        <v>4</v>
      </c>
      <c r="B4" s="7" t="s">
        <v>5</v>
      </c>
      <c r="C4" s="8"/>
      <c r="D4" s="5"/>
      <c r="E4" s="5"/>
      <c r="F4" s="5"/>
      <c r="G4" s="5"/>
      <c r="H4" s="5"/>
      <c r="I4" s="2"/>
      <c r="J4" s="2"/>
    </row>
    <row r="5">
      <c r="A5" s="3" t="s">
        <v>6</v>
      </c>
      <c r="B5" s="7" t="s">
        <v>7</v>
      </c>
      <c r="C5" s="8"/>
      <c r="D5" s="5"/>
      <c r="E5" s="5"/>
      <c r="F5" s="5"/>
      <c r="G5" s="5"/>
      <c r="H5" s="5"/>
      <c r="I5" s="2"/>
      <c r="J5" s="2"/>
    </row>
    <row r="6">
      <c r="A6" s="8"/>
      <c r="B6" s="8"/>
      <c r="C6" s="8"/>
      <c r="D6" s="5"/>
      <c r="E6" s="5"/>
      <c r="F6" s="5"/>
      <c r="G6" s="5"/>
      <c r="H6" s="5"/>
      <c r="I6" s="2"/>
      <c r="J6" s="2"/>
    </row>
    <row r="7">
      <c r="A7" s="9" t="s">
        <v>8</v>
      </c>
      <c r="B7" s="10" t="s">
        <v>9</v>
      </c>
      <c r="C7" s="10" t="s">
        <v>10</v>
      </c>
      <c r="D7" s="11" t="s">
        <v>11</v>
      </c>
      <c r="E7" s="10" t="s">
        <v>12</v>
      </c>
      <c r="F7" s="11" t="s">
        <v>13</v>
      </c>
      <c r="G7" s="11" t="s">
        <v>14</v>
      </c>
      <c r="H7" s="10" t="s">
        <v>15</v>
      </c>
      <c r="I7" s="2"/>
      <c r="J7" s="2"/>
    </row>
    <row r="8">
      <c r="A8" s="12"/>
      <c r="B8" s="13" t="s">
        <v>16</v>
      </c>
      <c r="C8" s="13" t="s">
        <v>17</v>
      </c>
      <c r="D8" s="14" t="str">
        <f>+1.8-5.5V</f>
        <v>#ERROR!</v>
      </c>
      <c r="E8" s="15">
        <v>1.0</v>
      </c>
      <c r="F8" s="15">
        <v>500.0</v>
      </c>
      <c r="G8" s="15">
        <v>500.0</v>
      </c>
      <c r="H8" s="15" t="s">
        <v>18</v>
      </c>
      <c r="I8" s="2"/>
      <c r="J8" s="2"/>
    </row>
    <row r="9">
      <c r="A9" s="12"/>
      <c r="B9" s="16" t="str">
        <f>+5V Regulator</f>
        <v>#ERROR!</v>
      </c>
      <c r="C9" s="17" t="s">
        <v>19</v>
      </c>
      <c r="D9" s="18" t="str">
        <f>+5-35V</f>
        <v>#ERROR!</v>
      </c>
      <c r="E9" s="19">
        <v>1.0</v>
      </c>
      <c r="F9" s="19">
        <v>1000.0</v>
      </c>
      <c r="G9" s="19">
        <v>1000.0</v>
      </c>
      <c r="H9" s="19" t="s">
        <v>18</v>
      </c>
      <c r="I9" s="2"/>
      <c r="J9" s="2"/>
    </row>
    <row r="10">
      <c r="A10" s="12"/>
      <c r="B10" s="13" t="s">
        <v>20</v>
      </c>
      <c r="C10" s="13" t="s">
        <v>21</v>
      </c>
      <c r="D10" s="15" t="s">
        <v>22</v>
      </c>
      <c r="E10" s="15">
        <v>1.0</v>
      </c>
      <c r="F10" s="15">
        <v>0.05</v>
      </c>
      <c r="G10" s="15">
        <v>0.05</v>
      </c>
      <c r="H10" s="15" t="s">
        <v>18</v>
      </c>
      <c r="I10" s="2"/>
      <c r="J10" s="2"/>
    </row>
    <row r="11">
      <c r="A11" s="20"/>
      <c r="B11" s="16"/>
      <c r="C11" s="16"/>
      <c r="D11" s="18"/>
      <c r="E11" s="18"/>
      <c r="F11" s="18"/>
      <c r="G11" s="18"/>
      <c r="H11" s="18"/>
      <c r="I11" s="2"/>
      <c r="J11" s="2"/>
    </row>
    <row r="12">
      <c r="A12" s="12"/>
      <c r="B12" s="21"/>
      <c r="C12" s="21"/>
      <c r="D12" s="14"/>
      <c r="E12" s="14"/>
      <c r="F12" s="14"/>
      <c r="G12" s="14"/>
      <c r="H12" s="14"/>
      <c r="I12" s="2"/>
      <c r="J12" s="2"/>
    </row>
    <row r="13">
      <c r="A13" s="22"/>
      <c r="B13" s="8"/>
      <c r="C13" s="8"/>
      <c r="D13" s="5"/>
      <c r="E13" s="5"/>
      <c r="F13" s="5"/>
      <c r="G13" s="23"/>
      <c r="H13" s="23"/>
      <c r="I13" s="2"/>
      <c r="J13" s="2"/>
    </row>
    <row r="14">
      <c r="A14" s="24"/>
      <c r="B14" s="25"/>
      <c r="C14" s="25"/>
      <c r="D14" s="26"/>
      <c r="E14" s="25"/>
      <c r="F14" s="26"/>
      <c r="G14" s="26"/>
      <c r="H14" s="25"/>
      <c r="I14" s="2"/>
      <c r="J14" s="2"/>
    </row>
    <row r="15">
      <c r="A15" s="12"/>
      <c r="B15" s="27"/>
      <c r="C15" s="27"/>
      <c r="D15" s="28"/>
      <c r="E15" s="28"/>
      <c r="F15" s="28"/>
      <c r="G15" s="28"/>
      <c r="H15" s="28"/>
      <c r="I15" s="2"/>
      <c r="J15" s="2"/>
    </row>
    <row r="16">
      <c r="A16" s="12"/>
      <c r="B16" s="2"/>
      <c r="C16" s="2"/>
      <c r="D16" s="29"/>
      <c r="E16" s="30"/>
      <c r="F16" s="31"/>
      <c r="G16" s="28"/>
      <c r="H16" s="28"/>
      <c r="I16" s="2"/>
      <c r="J16" s="2"/>
    </row>
    <row r="17">
      <c r="A17" s="12"/>
      <c r="B17" s="2"/>
      <c r="C17" s="2"/>
      <c r="D17" s="32"/>
      <c r="E17" s="33"/>
      <c r="F17" s="34"/>
      <c r="G17" s="18"/>
      <c r="H17" s="18"/>
      <c r="I17" s="2"/>
      <c r="J17" s="2"/>
    </row>
    <row r="18">
      <c r="A18" s="35"/>
      <c r="B18" s="2"/>
      <c r="C18" s="2"/>
      <c r="D18" s="29"/>
      <c r="E18" s="30"/>
      <c r="F18" s="31"/>
      <c r="G18" s="28"/>
      <c r="H18" s="28"/>
      <c r="I18" s="2"/>
      <c r="J18" s="2"/>
    </row>
    <row r="19">
      <c r="A19" s="36"/>
      <c r="B19" s="37"/>
      <c r="C19" s="37"/>
      <c r="D19" s="6"/>
      <c r="E19" s="6"/>
      <c r="F19" s="6"/>
      <c r="G19" s="38"/>
      <c r="H19" s="38"/>
      <c r="I19" s="2"/>
      <c r="J19" s="2"/>
    </row>
    <row r="20">
      <c r="A20" s="39"/>
      <c r="B20" s="40"/>
      <c r="C20" s="41"/>
      <c r="D20" s="41"/>
      <c r="E20" s="41"/>
      <c r="F20" s="41"/>
      <c r="G20" s="6"/>
      <c r="H20" s="6"/>
      <c r="I20" s="2"/>
      <c r="J20" s="2"/>
    </row>
    <row r="21">
      <c r="A21" s="42" t="str">
        <f>+5V Power Rail</f>
        <v>#ERROR!</v>
      </c>
      <c r="B21" s="10" t="s">
        <v>9</v>
      </c>
      <c r="C21" s="10" t="s">
        <v>10</v>
      </c>
      <c r="D21" s="11" t="s">
        <v>23</v>
      </c>
      <c r="E21" s="10" t="s">
        <v>12</v>
      </c>
      <c r="F21" s="11" t="s">
        <v>24</v>
      </c>
      <c r="G21" s="11" t="s">
        <v>25</v>
      </c>
      <c r="H21" s="10" t="s">
        <v>15</v>
      </c>
      <c r="I21" s="2"/>
      <c r="J21" s="2"/>
    </row>
    <row r="22">
      <c r="A22" s="12"/>
      <c r="B22" s="13" t="s">
        <v>16</v>
      </c>
      <c r="C22" s="13" t="s">
        <v>17</v>
      </c>
      <c r="D22" s="14" t="str">
        <f>+1.8-5.5V</f>
        <v>#ERROR!</v>
      </c>
      <c r="E22" s="15">
        <v>1.0</v>
      </c>
      <c r="F22" s="15">
        <v>500.0</v>
      </c>
      <c r="G22" s="15">
        <v>500.0</v>
      </c>
      <c r="H22" s="15" t="s">
        <v>18</v>
      </c>
      <c r="I22" s="2"/>
      <c r="J22" s="2"/>
    </row>
    <row r="23">
      <c r="A23" s="12"/>
      <c r="B23" s="13" t="s">
        <v>20</v>
      </c>
      <c r="C23" s="13" t="s">
        <v>21</v>
      </c>
      <c r="D23" s="15" t="s">
        <v>22</v>
      </c>
      <c r="E23" s="15">
        <v>1.0</v>
      </c>
      <c r="F23" s="15">
        <v>0.05</v>
      </c>
      <c r="G23" s="15">
        <v>0.05</v>
      </c>
      <c r="H23" s="15" t="s">
        <v>18</v>
      </c>
      <c r="I23" s="2"/>
      <c r="J23" s="2"/>
    </row>
    <row r="24">
      <c r="A24" s="21"/>
      <c r="B24" s="21"/>
      <c r="C24" s="21"/>
      <c r="D24" s="14"/>
      <c r="E24" s="14"/>
      <c r="F24" s="14"/>
      <c r="G24" s="14"/>
      <c r="H24" s="28"/>
      <c r="I24" s="2"/>
      <c r="J24" s="2"/>
    </row>
    <row r="25">
      <c r="A25" s="12"/>
      <c r="B25" s="2"/>
      <c r="C25" s="2"/>
      <c r="D25" s="43" t="s">
        <v>26</v>
      </c>
      <c r="E25" s="30"/>
      <c r="F25" s="31"/>
      <c r="G25" s="44">
        <v>500.05</v>
      </c>
      <c r="H25" s="19" t="s">
        <v>18</v>
      </c>
      <c r="I25" s="2"/>
      <c r="J25" s="2"/>
    </row>
    <row r="26">
      <c r="A26" s="12"/>
      <c r="B26" s="2"/>
      <c r="C26" s="2"/>
      <c r="D26" s="45" t="s">
        <v>27</v>
      </c>
      <c r="E26" s="33"/>
      <c r="F26" s="34"/>
      <c r="G26" s="46">
        <v>0.25</v>
      </c>
      <c r="H26" s="44" t="s">
        <v>18</v>
      </c>
      <c r="I26" s="2"/>
      <c r="J26" s="2"/>
    </row>
    <row r="27">
      <c r="A27" s="35"/>
      <c r="B27" s="2"/>
      <c r="C27" s="2"/>
      <c r="D27" s="43" t="s">
        <v>28</v>
      </c>
      <c r="E27" s="30"/>
      <c r="F27" s="31"/>
      <c r="G27" s="44">
        <v>625.0625</v>
      </c>
      <c r="H27" s="47" t="s">
        <v>18</v>
      </c>
      <c r="I27" s="2"/>
      <c r="J27" s="2"/>
    </row>
    <row r="28">
      <c r="A28" s="36"/>
      <c r="B28" s="37"/>
      <c r="C28" s="37"/>
      <c r="D28" s="6"/>
      <c r="E28" s="6"/>
      <c r="F28" s="6"/>
      <c r="G28" s="48"/>
      <c r="H28" s="18"/>
      <c r="I28" s="2"/>
      <c r="J28" s="2"/>
    </row>
    <row r="29">
      <c r="A29" s="49" t="s">
        <v>29</v>
      </c>
      <c r="B29" s="16" t="str">
        <f>+5V Regulator</f>
        <v>#ERROR!</v>
      </c>
      <c r="C29" s="17" t="s">
        <v>19</v>
      </c>
      <c r="D29" s="19" t="s">
        <v>30</v>
      </c>
      <c r="E29" s="19">
        <v>1.0</v>
      </c>
      <c r="F29" s="19">
        <v>1000.0</v>
      </c>
      <c r="G29" s="19">
        <v>1000.0</v>
      </c>
      <c r="H29" s="28"/>
      <c r="I29" s="2"/>
      <c r="J29" s="2"/>
    </row>
    <row r="30">
      <c r="A30" s="39"/>
      <c r="B30" s="50" t="s">
        <v>31</v>
      </c>
      <c r="C30" s="51"/>
      <c r="D30" s="51"/>
      <c r="E30" s="51"/>
      <c r="F30" s="51"/>
      <c r="G30" s="44">
        <v>374.9375</v>
      </c>
      <c r="H30" s="52" t="s">
        <v>18</v>
      </c>
      <c r="I30" s="2"/>
      <c r="J30" s="2"/>
    </row>
    <row r="31">
      <c r="A31" s="53"/>
      <c r="B31" s="53"/>
      <c r="C31" s="53"/>
      <c r="D31" s="53"/>
      <c r="E31" s="53"/>
      <c r="F31" s="54"/>
      <c r="G31" s="55"/>
      <c r="H31" s="56"/>
      <c r="I31" s="2"/>
      <c r="J31" s="2"/>
    </row>
    <row r="32">
      <c r="A32" s="57" t="s">
        <v>32</v>
      </c>
      <c r="B32" s="10" t="s">
        <v>9</v>
      </c>
      <c r="C32" s="10" t="s">
        <v>10</v>
      </c>
      <c r="D32" s="11" t="s">
        <v>23</v>
      </c>
      <c r="E32" s="11" t="s">
        <v>33</v>
      </c>
      <c r="F32" s="11" t="s">
        <v>24</v>
      </c>
      <c r="G32" s="11" t="s">
        <v>25</v>
      </c>
      <c r="H32" s="10" t="s">
        <v>15</v>
      </c>
      <c r="I32" s="2"/>
      <c r="J32" s="2"/>
    </row>
    <row r="33">
      <c r="A33" s="58" t="s">
        <v>34</v>
      </c>
      <c r="B33" s="59" t="s">
        <v>35</v>
      </c>
      <c r="C33" s="44" t="s">
        <v>36</v>
      </c>
      <c r="D33" s="44" t="s">
        <v>37</v>
      </c>
      <c r="E33" s="28" t="str">
        <f>+V12</f>
        <v/>
      </c>
      <c r="F33" s="44">
        <v>5000.0</v>
      </c>
      <c r="G33" s="44">
        <v>5000.0</v>
      </c>
      <c r="H33" s="15" t="s">
        <v>18</v>
      </c>
      <c r="I33" s="2"/>
      <c r="J33" s="2"/>
    </row>
    <row r="34">
      <c r="A34" s="60"/>
      <c r="B34" s="61"/>
      <c r="C34" s="61"/>
      <c r="D34" s="14"/>
      <c r="E34" s="14"/>
      <c r="F34" s="14"/>
      <c r="G34" s="14"/>
      <c r="H34" s="14"/>
      <c r="I34" s="2"/>
      <c r="J34" s="2"/>
    </row>
    <row r="35">
      <c r="A35" s="62" t="s">
        <v>38</v>
      </c>
      <c r="B35" s="61" t="str">
        <f>+5V Regulator</f>
        <v>#ERROR!</v>
      </c>
      <c r="C35" s="63" t="s">
        <v>39</v>
      </c>
      <c r="D35" s="14" t="str">
        <f>+5- 35V</f>
        <v>#ERROR!</v>
      </c>
      <c r="E35" s="15">
        <v>1.0</v>
      </c>
      <c r="F35" s="15">
        <v>1000.0</v>
      </c>
      <c r="G35" s="15">
        <v>1000.0</v>
      </c>
      <c r="H35" s="15" t="s">
        <v>18</v>
      </c>
      <c r="I35" s="2"/>
      <c r="J35" s="2"/>
    </row>
    <row r="36">
      <c r="A36" s="64"/>
      <c r="B36" s="61" t="str">
        <f>+5V Regulator</f>
        <v>#ERROR!</v>
      </c>
      <c r="C36" s="63" t="s">
        <v>39</v>
      </c>
      <c r="D36" s="14" t="str">
        <f>+5- 35V</f>
        <v>#ERROR!</v>
      </c>
      <c r="E36" s="15">
        <v>1.0</v>
      </c>
      <c r="F36" s="15">
        <v>1000.0</v>
      </c>
      <c r="G36" s="15">
        <v>1000.0</v>
      </c>
      <c r="H36" s="65" t="s">
        <v>18</v>
      </c>
      <c r="I36" s="2"/>
      <c r="J36" s="2"/>
    </row>
    <row r="37">
      <c r="A37" s="64"/>
      <c r="B37" s="61" t="str">
        <f>+5V Regulator</f>
        <v>#ERROR!</v>
      </c>
      <c r="C37" s="63" t="s">
        <v>39</v>
      </c>
      <c r="D37" s="14" t="str">
        <f>+5- 35V</f>
        <v>#ERROR!</v>
      </c>
      <c r="E37" s="15">
        <v>1.0</v>
      </c>
      <c r="F37" s="15">
        <v>1000.0</v>
      </c>
      <c r="G37" s="15">
        <v>1000.0</v>
      </c>
      <c r="H37" s="65" t="s">
        <v>18</v>
      </c>
      <c r="I37" s="2"/>
      <c r="J37" s="2"/>
    </row>
    <row r="38">
      <c r="A38" s="66"/>
      <c r="B38" s="61"/>
      <c r="C38" s="61"/>
      <c r="D38" s="14"/>
      <c r="E38" s="67"/>
      <c r="F38" s="67"/>
      <c r="G38" s="67"/>
      <c r="H38" s="28"/>
      <c r="I38" s="2"/>
      <c r="J38" s="2"/>
    </row>
    <row r="39">
      <c r="A39" s="50" t="s">
        <v>40</v>
      </c>
      <c r="B39" s="51"/>
      <c r="C39" s="51"/>
      <c r="D39" s="51"/>
      <c r="E39" s="51"/>
      <c r="F39" s="51"/>
      <c r="G39" s="44">
        <v>2000.0</v>
      </c>
      <c r="H39" s="6"/>
      <c r="I39" s="2"/>
      <c r="J39" s="2"/>
    </row>
    <row r="40">
      <c r="A40" s="35"/>
      <c r="B40" s="2"/>
      <c r="C40" s="2"/>
      <c r="D40" s="41"/>
      <c r="E40" s="6"/>
      <c r="F40" s="6"/>
      <c r="G40" s="6"/>
      <c r="H40" s="68"/>
      <c r="I40" s="2"/>
      <c r="J40" s="2"/>
    </row>
    <row r="41">
      <c r="A41" s="69" t="s">
        <v>41</v>
      </c>
      <c r="B41" s="70"/>
      <c r="C41" s="70"/>
      <c r="D41" s="70"/>
      <c r="E41" s="70"/>
      <c r="F41" s="70"/>
      <c r="G41" s="71"/>
      <c r="H41" s="71"/>
      <c r="I41" s="2"/>
      <c r="J41" s="2"/>
    </row>
    <row r="42">
      <c r="A42" s="72"/>
      <c r="B42" s="73" t="s">
        <v>9</v>
      </c>
      <c r="C42" s="73" t="s">
        <v>10</v>
      </c>
      <c r="D42" s="11" t="s">
        <v>23</v>
      </c>
      <c r="E42" s="25"/>
      <c r="F42" s="11" t="s">
        <v>42</v>
      </c>
      <c r="G42" s="11" t="s">
        <v>43</v>
      </c>
      <c r="H42" s="18"/>
      <c r="I42" s="2"/>
      <c r="J42" s="2"/>
    </row>
    <row r="43">
      <c r="A43" s="74"/>
      <c r="B43" s="75" t="s">
        <v>44</v>
      </c>
      <c r="C43" s="75" t="s">
        <v>44</v>
      </c>
      <c r="D43" s="19" t="s">
        <v>44</v>
      </c>
      <c r="E43" s="18"/>
      <c r="F43" s="19" t="s">
        <v>44</v>
      </c>
      <c r="G43" s="19" t="e">
        <v>#REF!</v>
      </c>
      <c r="H43" s="44" t="s">
        <v>45</v>
      </c>
      <c r="I43" s="2"/>
      <c r="J43" s="2"/>
    </row>
    <row r="44">
      <c r="A44" s="76"/>
      <c r="B44" s="77"/>
      <c r="C44" s="77"/>
      <c r="D44" s="78"/>
      <c r="E44" s="78"/>
      <c r="F44" s="79" t="s">
        <v>46</v>
      </c>
      <c r="G44" s="44" t="e">
        <v>#VALUE!</v>
      </c>
      <c r="H44" s="6"/>
      <c r="I44" s="2"/>
      <c r="J44" s="2"/>
    </row>
    <row r="45">
      <c r="A45" s="2"/>
      <c r="B45" s="2"/>
      <c r="C45" s="2"/>
      <c r="D45" s="6"/>
      <c r="E45" s="6"/>
      <c r="F45" s="80"/>
      <c r="G45" s="6"/>
      <c r="H45" s="81"/>
      <c r="I45" s="2"/>
      <c r="J45" s="2"/>
    </row>
    <row r="46">
      <c r="A46" s="82" t="s">
        <v>47</v>
      </c>
      <c r="B46" s="83"/>
      <c r="C46" s="83"/>
      <c r="D46" s="83"/>
      <c r="E46" s="83"/>
      <c r="F46" s="83"/>
      <c r="G46" s="84"/>
      <c r="H46" s="85"/>
      <c r="I46" s="2"/>
      <c r="J46" s="2"/>
    </row>
    <row r="47">
      <c r="A47" s="86" t="s">
        <v>48</v>
      </c>
      <c r="B47" s="83"/>
      <c r="C47" s="83"/>
      <c r="D47" s="83"/>
      <c r="E47" s="83"/>
      <c r="F47" s="83"/>
      <c r="G47" s="83"/>
      <c r="H47" s="83"/>
      <c r="I47" s="2"/>
      <c r="J47" s="2"/>
    </row>
    <row r="48">
      <c r="A48" s="87"/>
      <c r="I48" s="2"/>
      <c r="J48" s="2"/>
    </row>
    <row r="49">
      <c r="A49" s="2"/>
      <c r="B49" s="2"/>
      <c r="C49" s="2"/>
      <c r="D49" s="2"/>
      <c r="E49" s="2"/>
      <c r="F49" s="6"/>
      <c r="G49" s="6"/>
      <c r="H49" s="6"/>
      <c r="I49" s="2"/>
      <c r="J49" s="2"/>
    </row>
    <row r="50">
      <c r="A50" s="2"/>
      <c r="B50" s="2"/>
      <c r="C50" s="2"/>
      <c r="D50" s="2"/>
      <c r="E50" s="2"/>
      <c r="F50" s="6"/>
      <c r="G50" s="6"/>
      <c r="H50" s="6"/>
      <c r="I50" s="2"/>
      <c r="J50" s="2"/>
    </row>
    <row r="51">
      <c r="A51" s="2"/>
      <c r="B51" s="2"/>
      <c r="C51" s="2"/>
      <c r="D51" s="2"/>
      <c r="E51" s="2"/>
      <c r="F51" s="6"/>
      <c r="G51" s="6"/>
      <c r="H51" s="6"/>
      <c r="I51" s="2"/>
      <c r="J51" s="2"/>
    </row>
    <row r="52">
      <c r="A52" s="2"/>
      <c r="B52" s="2"/>
      <c r="C52" s="2"/>
      <c r="D52" s="2"/>
      <c r="E52" s="2"/>
      <c r="F52" s="6"/>
      <c r="G52" s="6"/>
      <c r="H52" s="6"/>
      <c r="I52" s="2"/>
      <c r="J52" s="2"/>
    </row>
    <row r="53">
      <c r="A53" s="2"/>
      <c r="B53" s="2"/>
      <c r="C53" s="2"/>
      <c r="D53" s="2"/>
      <c r="E53" s="2"/>
      <c r="F53" s="6"/>
      <c r="G53" s="6"/>
      <c r="H53" s="6"/>
      <c r="I53" s="2"/>
      <c r="J53" s="2"/>
    </row>
    <row r="54">
      <c r="A54" s="2"/>
      <c r="B54" s="2"/>
      <c r="C54" s="2"/>
      <c r="D54" s="2"/>
      <c r="E54" s="2"/>
      <c r="F54" s="6"/>
      <c r="G54" s="6"/>
      <c r="H54" s="6"/>
      <c r="I54" s="2"/>
      <c r="J54" s="2"/>
    </row>
    <row r="55">
      <c r="A55" s="2"/>
      <c r="B55" s="2"/>
      <c r="C55" s="2"/>
      <c r="D55" s="2"/>
      <c r="E55" s="2"/>
      <c r="F55" s="6"/>
      <c r="G55" s="6"/>
      <c r="H55" s="6"/>
      <c r="I55" s="2"/>
      <c r="J55" s="2"/>
    </row>
    <row r="56">
      <c r="A56" s="2"/>
      <c r="B56" s="2"/>
      <c r="C56" s="2"/>
      <c r="D56" s="2"/>
      <c r="E56" s="2"/>
      <c r="F56" s="6"/>
      <c r="G56" s="6"/>
      <c r="H56" s="6"/>
      <c r="I56" s="2"/>
      <c r="J56" s="2"/>
    </row>
    <row r="57">
      <c r="A57" s="2"/>
      <c r="B57" s="2"/>
      <c r="C57" s="2"/>
      <c r="D57" s="2"/>
      <c r="E57" s="2"/>
      <c r="F57" s="6"/>
      <c r="G57" s="6"/>
      <c r="H57" s="6"/>
      <c r="I57" s="2"/>
      <c r="J57" s="2"/>
    </row>
    <row r="58">
      <c r="A58" s="2"/>
      <c r="B58" s="2"/>
      <c r="C58" s="2"/>
      <c r="D58" s="2"/>
      <c r="E58" s="2"/>
      <c r="F58" s="6"/>
      <c r="G58" s="6"/>
      <c r="H58" s="6"/>
      <c r="I58" s="2"/>
      <c r="J58" s="2"/>
    </row>
    <row r="59">
      <c r="A59" s="2"/>
      <c r="B59" s="2"/>
      <c r="C59" s="2"/>
      <c r="D59" s="2"/>
      <c r="E59" s="2"/>
      <c r="F59" s="6"/>
      <c r="G59" s="6"/>
      <c r="H59" s="6"/>
      <c r="I59" s="2"/>
      <c r="J59" s="2"/>
    </row>
    <row r="60">
      <c r="A60" s="2"/>
      <c r="B60" s="2"/>
      <c r="C60" s="2"/>
      <c r="D60" s="2"/>
      <c r="E60" s="2"/>
      <c r="F60" s="6"/>
      <c r="G60" s="6"/>
      <c r="H60" s="6"/>
      <c r="I60" s="2"/>
      <c r="J60" s="2"/>
    </row>
    <row r="61">
      <c r="A61" s="2"/>
      <c r="B61" s="2"/>
      <c r="C61" s="2"/>
      <c r="D61" s="2"/>
      <c r="E61" s="2"/>
      <c r="F61" s="6"/>
      <c r="G61" s="6"/>
      <c r="H61" s="6"/>
      <c r="I61" s="2"/>
      <c r="J61" s="2"/>
    </row>
    <row r="62">
      <c r="A62" s="2"/>
      <c r="B62" s="2"/>
      <c r="C62" s="2"/>
      <c r="D62" s="2"/>
      <c r="E62" s="2"/>
      <c r="F62" s="6"/>
      <c r="G62" s="6"/>
      <c r="H62" s="6"/>
      <c r="I62" s="2"/>
      <c r="J62" s="2"/>
    </row>
    <row r="63">
      <c r="A63" s="2"/>
      <c r="B63" s="2"/>
      <c r="C63" s="2"/>
      <c r="D63" s="2"/>
      <c r="E63" s="2"/>
      <c r="F63" s="6"/>
      <c r="G63" s="6"/>
      <c r="H63" s="6"/>
      <c r="I63" s="2"/>
      <c r="J63" s="2"/>
    </row>
    <row r="64">
      <c r="A64" s="2"/>
      <c r="B64" s="2"/>
      <c r="C64" s="2"/>
      <c r="D64" s="2"/>
      <c r="E64" s="2"/>
      <c r="F64" s="6"/>
      <c r="G64" s="6"/>
      <c r="H64" s="6"/>
      <c r="I64" s="2"/>
      <c r="J64" s="2"/>
    </row>
    <row r="65">
      <c r="A65" s="2"/>
      <c r="B65" s="2"/>
      <c r="C65" s="2"/>
      <c r="D65" s="2"/>
      <c r="E65" s="2"/>
      <c r="F65" s="6"/>
      <c r="G65" s="6"/>
      <c r="H65" s="6"/>
      <c r="I65" s="2"/>
      <c r="J65" s="2"/>
    </row>
    <row r="66">
      <c r="A66" s="2"/>
      <c r="B66" s="2"/>
      <c r="C66" s="2"/>
      <c r="D66" s="2"/>
      <c r="E66" s="2"/>
      <c r="F66" s="6"/>
      <c r="G66" s="6"/>
      <c r="H66" s="6"/>
      <c r="I66" s="2"/>
      <c r="J66" s="2"/>
    </row>
    <row r="67">
      <c r="A67" s="2"/>
      <c r="B67" s="2"/>
      <c r="C67" s="2"/>
      <c r="D67" s="2"/>
      <c r="E67" s="2"/>
      <c r="F67" s="6"/>
      <c r="G67" s="6"/>
      <c r="H67" s="6"/>
      <c r="I67" s="2"/>
      <c r="J67" s="2"/>
    </row>
    <row r="68">
      <c r="A68" s="2"/>
      <c r="B68" s="2"/>
      <c r="C68" s="2"/>
      <c r="D68" s="2"/>
      <c r="E68" s="2"/>
      <c r="F68" s="6"/>
      <c r="G68" s="6"/>
      <c r="H68" s="6"/>
      <c r="I68" s="2"/>
      <c r="J68" s="2"/>
    </row>
    <row r="69">
      <c r="A69" s="2"/>
      <c r="B69" s="2"/>
      <c r="C69" s="2"/>
      <c r="D69" s="2"/>
      <c r="E69" s="2"/>
      <c r="F69" s="6"/>
      <c r="G69" s="6"/>
      <c r="H69" s="6"/>
      <c r="I69" s="2"/>
      <c r="J69" s="2"/>
    </row>
    <row r="70">
      <c r="A70" s="2"/>
      <c r="B70" s="2"/>
      <c r="C70" s="2"/>
      <c r="D70" s="2"/>
      <c r="E70" s="2"/>
      <c r="F70" s="6"/>
      <c r="G70" s="6"/>
      <c r="H70" s="6"/>
      <c r="I70" s="2"/>
      <c r="J70" s="2"/>
    </row>
    <row r="71">
      <c r="A71" s="2"/>
      <c r="B71" s="2"/>
      <c r="C71" s="2"/>
      <c r="D71" s="2"/>
      <c r="E71" s="2"/>
      <c r="F71" s="6"/>
      <c r="G71" s="6"/>
      <c r="H71" s="6"/>
      <c r="I71" s="2"/>
      <c r="J71" s="2"/>
    </row>
    <row r="72">
      <c r="A72" s="2"/>
      <c r="B72" s="2"/>
      <c r="C72" s="2"/>
      <c r="D72" s="2"/>
      <c r="E72" s="2"/>
      <c r="F72" s="6"/>
      <c r="G72" s="6"/>
      <c r="H72" s="6"/>
      <c r="I72" s="2"/>
      <c r="J72" s="2"/>
    </row>
  </sheetData>
  <mergeCells count="13">
    <mergeCell ref="B30:F30"/>
    <mergeCell ref="A35:A38"/>
    <mergeCell ref="A39:F39"/>
    <mergeCell ref="A41:F41"/>
    <mergeCell ref="A46:F46"/>
    <mergeCell ref="A47:H48"/>
    <mergeCell ref="A1:H1"/>
    <mergeCell ref="D16:F16"/>
    <mergeCell ref="D17:F17"/>
    <mergeCell ref="D18:F18"/>
    <mergeCell ref="D25:F25"/>
    <mergeCell ref="D26:F26"/>
    <mergeCell ref="D27:F27"/>
  </mergeCells>
  <drawing r:id="rId1"/>
</worksheet>
</file>
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MK282\Downloads\"/>
    </mc:Choice>
  </mc:AlternateContent>
  <xr:revisionPtr revIDLastSave="0" documentId="8_{8A67F993-E4BA-4595-B7B3-17297BFF699F}" xr6:coauthVersionLast="47" xr6:coauthVersionMax="47" xr10:uidLastSave="{00000000-0000-0000-0000-000000000000}"/>
  <bookViews>
    <workbookView xWindow="4065" yWindow="1643" windowWidth="18045" windowHeight="12082" xr2:uid="{00000000-000D-0000-FFFF-FFFF00000000}"/>
  </bookViews>
  <sheets>
    <sheet name="Power Budget" sheetId="1" r:id="rId1"/>
  </sheets>
  <definedNames>
    <definedName name="_xlnm.Print_Area" localSheetId="0">'Power Budget'!$A$1:$H$48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1" l="1"/>
  <c r="G10" i="1"/>
  <c r="G9" i="1"/>
  <c r="G44" i="1"/>
  <c r="G45" i="1" s="1"/>
  <c r="G36" i="1"/>
  <c r="G30" i="1"/>
  <c r="G26" i="1"/>
  <c r="G40" i="1" l="1"/>
  <c r="G28" i="1"/>
  <c r="G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<sst xmlns="http://schemas.openxmlformats.org/spreadsheetml/2006/main" count="99" uniqueCount="59">
  <si>
    <t xml:space="preserve">Power Budget </t>
  </si>
  <si>
    <t>Team Number:</t>
  </si>
  <si>
    <t>Project Name:</t>
  </si>
  <si>
    <t>EGR 304 Project</t>
  </si>
  <si>
    <t>Team Member Names:</t>
  </si>
  <si>
    <t>Zane, Muhir, Adrian</t>
  </si>
  <si>
    <t>Version:</t>
  </si>
  <si>
    <t>#1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</si>
  <si>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</si>
  <si>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</si>
  <si>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</si>
  <si>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</si>
  <si>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 Voltage Range</t>
  </si>
  <si>
    <t>Qty.</t>
  </si>
  <si>
    <t>Absolute Maximum Current (mA)</t>
  </si>
  <si>
    <t>Total Current
(mA)</t>
  </si>
  <si>
    <t>Unit</t>
  </si>
  <si>
    <t>MicroController</t>
  </si>
  <si>
    <t>PIC18F57Q43-CNANO</t>
  </si>
  <si>
    <t>+1.8-5.5V</t>
  </si>
  <si>
    <t>mA</t>
  </si>
  <si>
    <t xml:space="preserve"> +5V Regulator</t>
  </si>
  <si>
    <t>LM7805CV</t>
  </si>
  <si>
    <t>+5-35V</t>
  </si>
  <si>
    <t>Temperature Sensor</t>
  </si>
  <si>
    <t>TMP36</t>
  </si>
  <si>
    <t>2.7-5.5V</t>
  </si>
  <si>
    <t>Op Amp</t>
  </si>
  <si>
    <t>MCP6004-I/P</t>
  </si>
  <si>
    <t>1.8-5.5V</t>
  </si>
  <si>
    <t xml:space="preserve"> +5V Power Rail</t>
  </si>
  <si>
    <t>Supply
Voltage
Range</t>
  </si>
  <si>
    <t>Absolute
Maximum
Current (mA)</t>
  </si>
  <si>
    <t>Total
Current
(mA)</t>
  </si>
  <si>
    <t xml:space="preserve">Subtotal </t>
  </si>
  <si>
    <t>Safety Margin</t>
  </si>
  <si>
    <t>Total Current Required on +5V Rail</t>
  </si>
  <si>
    <t>Regulator</t>
  </si>
  <si>
    <t>(range)</t>
  </si>
  <si>
    <t>Total Remaining Current Available on +5V Rail</t>
  </si>
  <si>
    <t>External Power Source 1</t>
  </si>
  <si>
    <t>Output Voltage</t>
  </si>
  <si>
    <t>Power Source 1 Selection</t>
  </si>
  <si>
    <t>Amazon Basics Adapter</t>
  </si>
  <si>
    <t>B09ZTKTLGW</t>
  </si>
  <si>
    <t>9VAC</t>
  </si>
  <si>
    <t>+V9</t>
  </si>
  <si>
    <t>Power Rails Connected to External Power Source 1</t>
  </si>
  <si>
    <t>LM7805</t>
  </si>
  <si>
    <t>+5- 35V</t>
  </si>
  <si>
    <t>Total Remaining Current Available on External Power Source 1</t>
  </si>
  <si>
    <t>Calculated Battery Life</t>
  </si>
  <si>
    <t>Capacity
(mAh)</t>
  </si>
  <si>
    <t>Required
By
Regulators</t>
  </si>
  <si>
    <t>n/a</t>
  </si>
  <si>
    <t>hours</t>
  </si>
  <si>
    <t>Battery Life</t>
  </si>
  <si>
    <t>Notes:</t>
  </si>
  <si>
    <t>External Supply Voltage should be determined by the dropout voltage for highest-voltage regulator (e.g., +14V for a +12V regulator).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</si>
</sst>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EEECE1"/>
      </patternFill>
    </fill>
    <fill>
      <patternFill patternType="solid">
        <fgColor theme="0"/>
        <bgColor rgb="FFFFFF00"/>
      </patternFill>
    </fill>
  </fills>
  <borders count="4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5" xfId="0" applyFont="1" applyBorder="1"/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/>
    <xf numFmtId="0" fontId="2" fillId="0" borderId="17" xfId="0" applyFont="1" applyBorder="1" applyAlignment="1">
      <alignment horizontal="center"/>
    </xf>
    <xf numFmtId="9" fontId="2" fillId="0" borderId="17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18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" fillId="2" borderId="32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0" borderId="25" xfId="0" applyFont="1" applyBorder="1"/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2" fillId="0" borderId="22" xfId="0" applyFont="1" applyBorder="1"/>
    <xf numFmtId="0" fontId="2" fillId="0" borderId="24" xfId="0" applyFont="1" applyBorder="1"/>
    <xf numFmtId="0" fontId="2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3" fillId="3" borderId="1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6" xfId="0" quotePrefix="1" applyFont="1" applyBorder="1" applyAlignment="1">
      <alignment horizontal="center"/>
    </xf>
    <xf numFmtId="0" fontId="2" fillId="0" borderId="17" xfId="0" quotePrefix="1" applyFont="1" applyBorder="1" applyAlignment="1">
      <alignment horizontal="center"/>
    </xf>
    <xf numFmtId="0" fontId="3" fillId="5" borderId="20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/>
    </xf>
    <xf numFmtId="0" fontId="2" fillId="6" borderId="35" xfId="0" applyFont="1" applyFill="1" applyBorder="1" applyAlignment="1">
      <alignment horizontal="center"/>
    </xf>
    <xf numFmtId="0" fontId="2" fillId="0" borderId="8" xfId="0" quotePrefix="1" applyFont="1" applyBorder="1" applyAlignment="1">
      <alignment horizontal="center"/>
    </xf>
    <xf numFmtId="0" fontId="2" fillId="0" borderId="34" xfId="0" applyFont="1" applyBorder="1" applyAlignment="1">
      <alignment wrapText="1"/>
    </xf>
    <xf numFmtId="0" fontId="5" fillId="2" borderId="39" xfId="0" applyFont="1" applyFill="1" applyBorder="1" applyAlignment="1">
      <alignment wrapText="1"/>
    </xf>
    <xf numFmtId="0" fontId="5" fillId="2" borderId="40" xfId="0" applyFont="1" applyFill="1" applyBorder="1" applyAlignment="1">
      <alignment wrapText="1"/>
    </xf>
    <xf numFmtId="0" fontId="5" fillId="2" borderId="41" xfId="0" applyFont="1" applyFill="1" applyBorder="1" applyAlignment="1">
      <alignment wrapText="1"/>
    </xf>
    <xf numFmtId="0" fontId="1" fillId="4" borderId="0" xfId="0" applyFont="1" applyFill="1" applyAlignment="1">
      <alignment horizontal="center"/>
    </xf>
    <xf numFmtId="0" fontId="5" fillId="2" borderId="1" xfId="0" applyFont="1" applyFill="1" applyBorder="1" applyAlignment="1">
      <alignment wrapText="1"/>
    </xf>
    <xf numFmtId="0" fontId="3" fillId="0" borderId="15" xfId="0" applyFont="1" applyBorder="1" applyAlignment="1">
      <alignment horizontal="left" vertical="center" wrapText="1"/>
    </xf>
    <xf numFmtId="49" fontId="5" fillId="0" borderId="43" xfId="0" applyNumberFormat="1" applyFont="1" applyBorder="1" applyAlignment="1">
      <alignment horizontal="right"/>
    </xf>
    <xf numFmtId="49" fontId="5" fillId="0" borderId="42" xfId="0" applyNumberFormat="1" applyFont="1" applyBorder="1" applyAlignment="1">
      <alignment horizontal="right"/>
    </xf>
    <xf numFmtId="49" fontId="5" fillId="0" borderId="33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49" fontId="5" fillId="0" borderId="28" xfId="0" applyNumberFormat="1" applyFont="1" applyBorder="1" applyAlignment="1">
      <alignment horizontal="right"/>
    </xf>
    <xf numFmtId="49" fontId="5" fillId="0" borderId="29" xfId="0" applyNumberFormat="1" applyFont="1" applyBorder="1" applyAlignment="1">
      <alignment horizontal="right"/>
    </xf>
    <xf numFmtId="49" fontId="5" fillId="0" borderId="30" xfId="0" applyNumberFormat="1" applyFont="1" applyBorder="1" applyAlignment="1">
      <alignment horizontal="right"/>
    </xf>
    <xf numFmtId="0" fontId="2" fillId="4" borderId="0" xfId="0" applyFont="1" applyFill="1" applyAlignment="1"/>
    <xf numFmtId="0" fontId="4" fillId="0" borderId="5" xfId="0" applyFont="1" applyBorder="1" applyAlignment="1"/>
    <xf numFmtId="0" fontId="4" fillId="0" borderId="7" xfId="0" applyFont="1" applyBorder="1" applyAlignment="1"/>
    <xf numFmtId="0" fontId="4" fillId="0" borderId="15" xfId="0" applyFont="1" applyBorder="1" applyAlignment="1"/>
    <xf numFmtId="0" fontId="4" fillId="0" borderId="44" xfId="0" applyFont="1" applyBorder="1" applyAlignment="1"/>
    <xf numFmtId="0" fontId="4" fillId="0" borderId="22" xfId="0" applyFont="1" applyBorder="1" applyAlignment="1"/>
    <xf numFmtId="0" fontId="5" fillId="2" borderId="34" xfId="0" applyFont="1" applyFill="1" applyBorder="1" applyAlignment="1"/>
    <xf numFmtId="0" fontId="5" fillId="2" borderId="32" xfId="0" applyFont="1" applyFill="1" applyBorder="1" applyAlignment="1"/>
    <xf numFmtId="0" fontId="0" fillId="0" borderId="32" xfId="0" applyBorder="1" applyAlignment="1"/>
    <xf numFmtId="0" fontId="0" fillId="0" borderId="35" xfId="0" applyBorder="1" applyAlignment="1"/>
    <xf numFmtId="0" fontId="0" fillId="0" borderId="24" xfId="0" applyBorder="1" applyAlignment="1"/>
    <xf numFmtId="0" fontId="0" fillId="0" borderId="25" xfId="0" applyBorder="1" applyAlignment="1"/>
    <xf numFmtId="0" fontId="0" fillId="0" borderId="36" xfId="0" applyBorder="1" applyAlignment="1"/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3"/>
  <sheetViews>
    <sheetView tabSelected="1" topLeftCell="A9" zoomScale="83" workbookViewId="0">
      <selection activeCell="I16" sqref="I16"/>
    </sheetView>
  </sheetViews>
  <sheetFormatPr defaultColWidth="13.5" defaultRowHeight="15.75" customHeight="1"/>
  <cols>
    <col min="1" max="1" width="22.5" style="1" customWidth="1"/>
    <col min="2" max="2" width="20.125" style="1" customWidth="1"/>
    <col min="3" max="3" width="15.75" style="1" customWidth="1"/>
    <col min="4" max="4" width="11.5" style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>
      <c r="A1" s="82" t="s">
        <v>0</v>
      </c>
      <c r="B1" s="93"/>
      <c r="C1" s="93"/>
      <c r="D1" s="93"/>
      <c r="E1" s="93"/>
      <c r="F1" s="93"/>
      <c r="G1" s="93"/>
      <c r="H1" s="93"/>
    </row>
    <row r="2" spans="1:8" ht="15" customHeight="1">
      <c r="A2" s="11" t="s">
        <v>1</v>
      </c>
      <c r="B2" s="12">
        <v>206</v>
      </c>
      <c r="D2" s="2"/>
      <c r="E2" s="2"/>
    </row>
    <row r="3" spans="1:8" ht="15" customHeight="1">
      <c r="A3" s="11" t="s">
        <v>2</v>
      </c>
      <c r="B3" s="13" t="s">
        <v>3</v>
      </c>
      <c r="C3" s="3"/>
      <c r="D3" s="2"/>
      <c r="E3" s="2"/>
      <c r="F3" s="2"/>
      <c r="G3" s="2"/>
      <c r="H3" s="2"/>
    </row>
    <row r="4" spans="1:8" ht="15" customHeight="1">
      <c r="A4" s="11" t="s">
        <v>4</v>
      </c>
      <c r="B4" s="13" t="s">
        <v>5</v>
      </c>
      <c r="C4" s="3"/>
      <c r="D4" s="2"/>
      <c r="E4" s="2"/>
      <c r="F4" s="2"/>
      <c r="G4" s="2"/>
      <c r="H4" s="2"/>
    </row>
    <row r="5" spans="1:8" ht="15" customHeight="1">
      <c r="A5" s="11" t="s">
        <v>6</v>
      </c>
      <c r="B5" s="13" t="s">
        <v>7</v>
      </c>
      <c r="C5" s="3"/>
      <c r="D5" s="2"/>
      <c r="E5" s="2"/>
      <c r="F5" s="2"/>
      <c r="G5" s="2"/>
      <c r="H5" s="2"/>
    </row>
    <row r="6" spans="1:8" ht="15" customHeight="1">
      <c r="A6" s="3"/>
      <c r="B6" s="3"/>
      <c r="C6" s="3"/>
      <c r="D6" s="2"/>
      <c r="E6" s="2"/>
      <c r="F6" s="2"/>
      <c r="G6" s="2"/>
      <c r="H6" s="2"/>
    </row>
    <row r="7" spans="1:8" ht="15" hidden="1" customHeight="1">
      <c r="A7" s="83" t="s">
        <v>8</v>
      </c>
      <c r="B7" s="94"/>
      <c r="C7" s="94"/>
      <c r="D7" s="94"/>
      <c r="E7" s="94"/>
      <c r="F7" s="94"/>
      <c r="G7" s="94"/>
      <c r="H7" s="95"/>
    </row>
    <row r="8" spans="1:8" ht="48.75">
      <c r="A8" s="19" t="s">
        <v>9</v>
      </c>
      <c r="B8" s="20" t="s">
        <v>10</v>
      </c>
      <c r="C8" s="20" t="s">
        <v>11</v>
      </c>
      <c r="D8" s="21" t="s">
        <v>12</v>
      </c>
      <c r="E8" s="20" t="s">
        <v>13</v>
      </c>
      <c r="F8" s="21" t="s">
        <v>14</v>
      </c>
      <c r="G8" s="21" t="s">
        <v>15</v>
      </c>
      <c r="H8" s="20" t="s">
        <v>16</v>
      </c>
    </row>
    <row r="9" spans="1:8" ht="15" customHeight="1">
      <c r="A9" s="4"/>
      <c r="B9" s="26" t="s">
        <v>17</v>
      </c>
      <c r="C9" s="14" t="s">
        <v>18</v>
      </c>
      <c r="D9" s="72" t="s">
        <v>19</v>
      </c>
      <c r="E9" s="15">
        <v>1</v>
      </c>
      <c r="F9" s="15">
        <v>500</v>
      </c>
      <c r="G9" s="15">
        <f t="shared" ref="G9" si="0">E9*F9</f>
        <v>500</v>
      </c>
      <c r="H9" s="30" t="s">
        <v>20</v>
      </c>
    </row>
    <row r="10" spans="1:8" ht="15" customHeight="1">
      <c r="A10" s="4"/>
      <c r="B10" s="39" t="s">
        <v>21</v>
      </c>
      <c r="C10" s="39" t="s">
        <v>22</v>
      </c>
      <c r="D10" s="73" t="s">
        <v>23</v>
      </c>
      <c r="E10" s="32">
        <v>1</v>
      </c>
      <c r="F10" s="32">
        <v>1000</v>
      </c>
      <c r="G10" s="32">
        <f>E10*F10</f>
        <v>1000</v>
      </c>
      <c r="H10" s="32" t="s">
        <v>20</v>
      </c>
    </row>
    <row r="11" spans="1:8" ht="15" customHeight="1">
      <c r="A11" s="4"/>
      <c r="B11" s="26" t="s">
        <v>24</v>
      </c>
      <c r="C11" s="14" t="s">
        <v>25</v>
      </c>
      <c r="D11" s="72" t="s">
        <v>26</v>
      </c>
      <c r="E11" s="15">
        <v>1</v>
      </c>
      <c r="F11" s="15">
        <v>0.05</v>
      </c>
      <c r="G11" s="15">
        <v>0.05</v>
      </c>
      <c r="H11" s="30" t="s">
        <v>20</v>
      </c>
    </row>
    <row r="12" spans="1:8" ht="15" customHeight="1" thickBot="1">
      <c r="A12" s="40"/>
      <c r="B12" s="39" t="s">
        <v>27</v>
      </c>
      <c r="C12" s="39" t="s">
        <v>28</v>
      </c>
      <c r="D12" s="73" t="s">
        <v>29</v>
      </c>
      <c r="E12" s="32">
        <v>1</v>
      </c>
      <c r="F12" s="32">
        <v>2</v>
      </c>
      <c r="G12" s="32">
        <v>2</v>
      </c>
      <c r="H12" s="32" t="s">
        <v>20</v>
      </c>
    </row>
    <row r="13" spans="1:8" ht="15" customHeight="1" thickTop="1">
      <c r="A13" s="4"/>
      <c r="B13" s="26"/>
      <c r="C13" s="14"/>
      <c r="D13" s="16"/>
      <c r="E13" s="15"/>
      <c r="F13" s="15"/>
      <c r="G13" s="15"/>
      <c r="H13" s="30"/>
    </row>
    <row r="14" spans="1:8" ht="15" customHeight="1">
      <c r="A14" s="6"/>
      <c r="B14" s="13"/>
      <c r="C14" s="13"/>
      <c r="D14" s="24"/>
      <c r="E14" s="24"/>
      <c r="F14" s="24"/>
      <c r="G14" s="25"/>
      <c r="H14" s="25"/>
    </row>
    <row r="15" spans="1:8" ht="15" customHeight="1">
      <c r="A15" s="43"/>
      <c r="B15" s="20"/>
      <c r="C15" s="20"/>
      <c r="D15" s="21"/>
      <c r="E15" s="20"/>
      <c r="F15" s="21"/>
      <c r="G15" s="21"/>
      <c r="H15" s="20"/>
    </row>
    <row r="16" spans="1:8" ht="15" customHeight="1">
      <c r="A16" s="4"/>
      <c r="B16" s="17"/>
      <c r="C16" s="17"/>
      <c r="D16" s="18"/>
      <c r="E16" s="18"/>
      <c r="F16" s="18"/>
      <c r="G16" s="18"/>
      <c r="H16" s="18"/>
    </row>
    <row r="17" spans="1:8">
      <c r="A17" s="4"/>
      <c r="B17" s="23"/>
      <c r="C17" s="23"/>
      <c r="D17" s="88"/>
      <c r="E17" s="88"/>
      <c r="F17" s="88"/>
      <c r="G17" s="18"/>
      <c r="H17" s="18"/>
    </row>
    <row r="18" spans="1:8" ht="15" customHeight="1" thickBot="1">
      <c r="A18" s="4"/>
      <c r="B18" s="23"/>
      <c r="C18" s="23"/>
      <c r="D18" s="89"/>
      <c r="E18" s="89"/>
      <c r="F18" s="89"/>
      <c r="G18" s="33"/>
      <c r="H18" s="33"/>
    </row>
    <row r="19" spans="1:8" ht="15" customHeight="1" thickTop="1">
      <c r="A19" s="7"/>
      <c r="B19" s="23"/>
      <c r="C19" s="23"/>
      <c r="D19" s="88"/>
      <c r="E19" s="88"/>
      <c r="F19" s="88"/>
      <c r="G19" s="18"/>
      <c r="H19" s="18"/>
    </row>
    <row r="20" spans="1:8" ht="15" customHeight="1">
      <c r="A20" s="8"/>
      <c r="B20" s="9"/>
      <c r="C20" s="9"/>
      <c r="D20" s="5"/>
      <c r="E20" s="5"/>
      <c r="G20" s="22"/>
      <c r="H20" s="22"/>
    </row>
    <row r="21" spans="1:8" ht="15" customHeight="1">
      <c r="A21" s="36"/>
      <c r="B21" s="37"/>
      <c r="C21" s="12"/>
      <c r="D21" s="12"/>
      <c r="E21" s="12"/>
      <c r="F21" s="12"/>
      <c r="G21" s="35"/>
      <c r="H21" s="35"/>
    </row>
    <row r="22" spans="1:8" ht="15" customHeight="1" thickBot="1">
      <c r="A22" s="41" t="s">
        <v>30</v>
      </c>
      <c r="B22" s="20" t="s">
        <v>10</v>
      </c>
      <c r="C22" s="20" t="s">
        <v>11</v>
      </c>
      <c r="D22" s="21" t="s">
        <v>31</v>
      </c>
      <c r="E22" s="20" t="s">
        <v>13</v>
      </c>
      <c r="F22" s="21" t="s">
        <v>32</v>
      </c>
      <c r="G22" s="21" t="s">
        <v>33</v>
      </c>
      <c r="H22" s="20" t="s">
        <v>16</v>
      </c>
    </row>
    <row r="23" spans="1:8" ht="15" customHeight="1">
      <c r="A23" s="4"/>
      <c r="B23" s="26" t="s">
        <v>17</v>
      </c>
      <c r="C23" s="14" t="s">
        <v>18</v>
      </c>
      <c r="D23" s="72" t="s">
        <v>19</v>
      </c>
      <c r="E23" s="15">
        <v>1</v>
      </c>
      <c r="F23" s="15">
        <v>500</v>
      </c>
      <c r="G23" s="15">
        <f t="shared" ref="G23" si="1">E23*F23</f>
        <v>500</v>
      </c>
      <c r="H23" s="30" t="s">
        <v>20</v>
      </c>
    </row>
    <row r="24" spans="1:8" ht="15" customHeight="1">
      <c r="A24" s="4"/>
      <c r="B24" s="26" t="s">
        <v>24</v>
      </c>
      <c r="C24" s="14" t="s">
        <v>25</v>
      </c>
      <c r="D24" s="72" t="s">
        <v>26</v>
      </c>
      <c r="E24" s="15">
        <v>1</v>
      </c>
      <c r="F24" s="15">
        <v>0.05</v>
      </c>
      <c r="G24" s="15">
        <v>0.05</v>
      </c>
      <c r="H24" s="30" t="s">
        <v>20</v>
      </c>
    </row>
    <row r="25" spans="1:8" ht="15" customHeight="1">
      <c r="A25" s="26"/>
      <c r="B25" s="39" t="s">
        <v>27</v>
      </c>
      <c r="C25" s="39" t="s">
        <v>28</v>
      </c>
      <c r="D25" s="73" t="s">
        <v>29</v>
      </c>
      <c r="E25" s="32">
        <v>1</v>
      </c>
      <c r="F25" s="32">
        <v>2</v>
      </c>
      <c r="G25" s="32">
        <v>2</v>
      </c>
      <c r="H25" s="32" t="s">
        <v>20</v>
      </c>
    </row>
    <row r="26" spans="1:8" ht="15" customHeight="1">
      <c r="A26" s="4"/>
      <c r="B26" s="23"/>
      <c r="C26" s="23"/>
      <c r="D26" s="88" t="s">
        <v>34</v>
      </c>
      <c r="E26" s="88"/>
      <c r="F26" s="88"/>
      <c r="G26" s="18">
        <f>SUM(G23:G25)</f>
        <v>502.05</v>
      </c>
      <c r="H26" s="33" t="s">
        <v>20</v>
      </c>
    </row>
    <row r="27" spans="1:8" ht="15" customHeight="1" thickTop="1" thickBot="1">
      <c r="A27" s="4"/>
      <c r="D27" s="89" t="s">
        <v>35</v>
      </c>
      <c r="E27" s="89"/>
      <c r="F27" s="89"/>
      <c r="G27" s="33">
        <v>0.25</v>
      </c>
      <c r="H27" s="18" t="s">
        <v>20</v>
      </c>
    </row>
    <row r="28" spans="1:8" ht="16.149999999999999" thickTop="1">
      <c r="A28" s="7"/>
      <c r="D28" s="88" t="s">
        <v>36</v>
      </c>
      <c r="E28" s="88"/>
      <c r="F28" s="88"/>
      <c r="G28" s="18">
        <f>G26*(1+G27)</f>
        <v>627.5625</v>
      </c>
      <c r="H28" s="10" t="s">
        <v>20</v>
      </c>
    </row>
    <row r="29" spans="1:8" ht="15" customHeight="1" thickBot="1">
      <c r="A29" s="8"/>
      <c r="B29" s="34"/>
      <c r="C29" s="34"/>
      <c r="D29" s="35"/>
      <c r="E29" s="35"/>
      <c r="F29" s="35"/>
      <c r="G29" s="10"/>
      <c r="H29" s="32"/>
    </row>
    <row r="30" spans="1:8" ht="15" customHeight="1" thickTop="1" thickBot="1">
      <c r="A30" s="40" t="s">
        <v>37</v>
      </c>
      <c r="B30" s="39" t="s">
        <v>21</v>
      </c>
      <c r="C30" s="39" t="s">
        <v>22</v>
      </c>
      <c r="D30" s="32" t="s">
        <v>38</v>
      </c>
      <c r="E30" s="32">
        <v>1</v>
      </c>
      <c r="F30" s="32">
        <v>1000</v>
      </c>
      <c r="G30" s="32">
        <f>E30*F30</f>
        <v>1000</v>
      </c>
      <c r="H30" s="18"/>
    </row>
    <row r="31" spans="1:8" ht="15" customHeight="1" thickTop="1" thickBot="1">
      <c r="A31" s="36"/>
      <c r="B31" s="90" t="s">
        <v>39</v>
      </c>
      <c r="C31" s="91"/>
      <c r="D31" s="91"/>
      <c r="E31" s="91"/>
      <c r="F31" s="92"/>
      <c r="G31" s="18">
        <f>G30-G28</f>
        <v>372.4375</v>
      </c>
      <c r="H31" s="53" t="s">
        <v>20</v>
      </c>
    </row>
    <row r="32" spans="1:8" ht="15" customHeight="1" thickBot="1">
      <c r="A32" s="68"/>
      <c r="B32" s="68"/>
      <c r="C32" s="68"/>
      <c r="D32" s="68"/>
      <c r="E32" s="68"/>
      <c r="F32" s="69"/>
      <c r="G32" s="54"/>
      <c r="H32" s="74"/>
    </row>
    <row r="33" spans="1:8" ht="15" customHeight="1" thickBot="1">
      <c r="A33" s="44" t="s">
        <v>40</v>
      </c>
      <c r="B33" s="45" t="s">
        <v>10</v>
      </c>
      <c r="C33" s="45" t="s">
        <v>11</v>
      </c>
      <c r="D33" s="46" t="s">
        <v>31</v>
      </c>
      <c r="E33" s="46" t="s">
        <v>41</v>
      </c>
      <c r="F33" s="46" t="s">
        <v>32</v>
      </c>
      <c r="G33" s="46" t="s">
        <v>33</v>
      </c>
      <c r="H33" s="47" t="s">
        <v>16</v>
      </c>
    </row>
    <row r="34" spans="1:8" ht="15" customHeight="1">
      <c r="A34" s="48" t="s">
        <v>42</v>
      </c>
      <c r="B34" s="42" t="s">
        <v>43</v>
      </c>
      <c r="C34" s="18" t="s">
        <v>44</v>
      </c>
      <c r="D34" s="18" t="s">
        <v>45</v>
      </c>
      <c r="E34" s="77" t="s">
        <v>46</v>
      </c>
      <c r="F34" s="18">
        <v>5000</v>
      </c>
      <c r="G34" s="18">
        <v>5000</v>
      </c>
      <c r="H34" s="30" t="s">
        <v>20</v>
      </c>
    </row>
    <row r="35" spans="1:8" ht="15" customHeight="1">
      <c r="A35" s="49"/>
      <c r="B35" s="38"/>
      <c r="C35" s="38"/>
      <c r="D35" s="15"/>
      <c r="E35" s="15"/>
      <c r="F35" s="15"/>
      <c r="G35" s="15"/>
      <c r="H35" s="30"/>
    </row>
    <row r="36" spans="1:8" ht="15" customHeight="1">
      <c r="A36" s="84" t="s">
        <v>47</v>
      </c>
      <c r="B36" s="38" t="s">
        <v>21</v>
      </c>
      <c r="C36" s="38" t="s">
        <v>48</v>
      </c>
      <c r="D36" s="72" t="s">
        <v>49</v>
      </c>
      <c r="E36" s="15">
        <v>1</v>
      </c>
      <c r="F36" s="15">
        <v>1000</v>
      </c>
      <c r="G36" s="15">
        <f t="shared" ref="G36:G39" si="2">E36*F36</f>
        <v>1000</v>
      </c>
      <c r="H36" s="30" t="s">
        <v>20</v>
      </c>
    </row>
    <row r="37" spans="1:8" ht="15" customHeight="1" thickBot="1">
      <c r="A37" s="96"/>
      <c r="B37" s="38"/>
      <c r="C37" s="38"/>
      <c r="D37" s="72"/>
      <c r="E37" s="15"/>
      <c r="F37" s="15"/>
      <c r="G37" s="15"/>
      <c r="H37" s="71"/>
    </row>
    <row r="38" spans="1:8" ht="15" customHeight="1" thickTop="1" thickBot="1">
      <c r="A38" s="97"/>
      <c r="B38" s="38"/>
      <c r="C38" s="38"/>
      <c r="D38" s="72"/>
      <c r="E38" s="15"/>
      <c r="F38" s="15"/>
      <c r="G38" s="15"/>
      <c r="H38" s="71"/>
    </row>
    <row r="39" spans="1:8" ht="15" customHeight="1" thickTop="1" thickBot="1">
      <c r="A39" s="98"/>
      <c r="B39" s="38"/>
      <c r="C39" s="38"/>
      <c r="D39" s="72"/>
      <c r="E39" s="70"/>
      <c r="F39" s="70"/>
      <c r="G39" s="70"/>
      <c r="H39" s="52"/>
    </row>
    <row r="40" spans="1:8" ht="16.5" thickTop="1" thickBot="1">
      <c r="A40" s="85" t="s">
        <v>50</v>
      </c>
      <c r="B40" s="86"/>
      <c r="C40" s="86"/>
      <c r="D40" s="86"/>
      <c r="E40" s="86"/>
      <c r="F40" s="87"/>
      <c r="G40" s="51">
        <f>G34-SUM(G36:G39)</f>
        <v>4000</v>
      </c>
      <c r="H40" s="35"/>
    </row>
    <row r="41" spans="1:8" ht="15" customHeight="1" thickBot="1">
      <c r="A41" s="7"/>
      <c r="B41" s="23"/>
      <c r="C41" s="23"/>
      <c r="D41" s="12"/>
      <c r="E41" s="35"/>
      <c r="F41" s="35"/>
      <c r="G41" s="35"/>
      <c r="H41" s="75"/>
    </row>
    <row r="42" spans="1:8" ht="15" customHeight="1">
      <c r="A42" s="79" t="s">
        <v>51</v>
      </c>
      <c r="B42" s="80"/>
      <c r="C42" s="80"/>
      <c r="D42" s="80"/>
      <c r="E42" s="80"/>
      <c r="F42" s="81"/>
      <c r="G42" s="58"/>
      <c r="H42" s="59"/>
    </row>
    <row r="43" spans="1:8" ht="15" customHeight="1" thickBot="1">
      <c r="A43" s="66"/>
      <c r="B43" s="67" t="s">
        <v>10</v>
      </c>
      <c r="C43" s="67" t="s">
        <v>11</v>
      </c>
      <c r="D43" s="29" t="s">
        <v>31</v>
      </c>
      <c r="E43" s="28"/>
      <c r="F43" s="29" t="s">
        <v>52</v>
      </c>
      <c r="G43" s="29" t="s">
        <v>53</v>
      </c>
      <c r="H43" s="50"/>
    </row>
    <row r="44" spans="1:8" ht="15" customHeight="1" thickTop="1" thickBot="1">
      <c r="A44" s="60"/>
      <c r="B44" s="31" t="s">
        <v>54</v>
      </c>
      <c r="C44" s="31" t="s">
        <v>54</v>
      </c>
      <c r="D44" s="32" t="s">
        <v>54</v>
      </c>
      <c r="E44" s="32"/>
      <c r="F44" s="32" t="s">
        <v>54</v>
      </c>
      <c r="G44" s="32" t="e">
        <f>SUM(#REF!)</f>
        <v>#REF!</v>
      </c>
      <c r="H44" s="65" t="s">
        <v>55</v>
      </c>
    </row>
    <row r="45" spans="1:8" ht="15" customHeight="1" thickTop="1" thickBot="1">
      <c r="A45" s="61"/>
      <c r="B45" s="57"/>
      <c r="C45" s="57"/>
      <c r="D45" s="62"/>
      <c r="E45" s="62"/>
      <c r="F45" s="63" t="s">
        <v>56</v>
      </c>
      <c r="G45" s="64" t="e">
        <f>F44/G44</f>
        <v>#VALUE!</v>
      </c>
      <c r="H45" s="35"/>
    </row>
    <row r="46" spans="1:8" ht="15" customHeight="1" thickBot="1">
      <c r="A46" s="23"/>
      <c r="D46" s="5"/>
      <c r="E46" s="5"/>
      <c r="F46" s="27"/>
      <c r="G46" s="35"/>
      <c r="H46" s="76"/>
    </row>
    <row r="47" spans="1:8" ht="15.75" customHeight="1" thickBot="1">
      <c r="A47" s="99" t="s">
        <v>57</v>
      </c>
      <c r="B47" s="100"/>
      <c r="C47" s="100"/>
      <c r="D47" s="100"/>
      <c r="E47" s="100"/>
      <c r="F47" s="100"/>
      <c r="G47" s="55"/>
      <c r="H47" s="56"/>
    </row>
    <row r="48" spans="1:8" ht="15" customHeight="1">
      <c r="A48" s="78" t="s">
        <v>58</v>
      </c>
      <c r="B48" s="101"/>
      <c r="C48" s="101"/>
      <c r="D48" s="101"/>
      <c r="E48" s="101"/>
      <c r="F48" s="101"/>
      <c r="G48" s="101"/>
      <c r="H48" s="102"/>
    </row>
    <row r="49" spans="1:10" s="23" customFormat="1" ht="15" customHeight="1" thickBot="1">
      <c r="A49" s="103"/>
      <c r="B49" s="104"/>
      <c r="C49" s="104"/>
      <c r="D49" s="104"/>
      <c r="E49" s="104"/>
      <c r="F49" s="104"/>
      <c r="G49" s="104"/>
      <c r="H49" s="105"/>
    </row>
    <row r="50" spans="1:10"/>
    <row r="51" spans="1:10" ht="15" customHeight="1"/>
    <row r="52" spans="1:10" ht="15" customHeight="1"/>
    <row r="53" spans="1:10" ht="15" customHeight="1"/>
    <row r="54" spans="1:10" ht="15" customHeight="1"/>
    <row r="56" spans="1:10" ht="15" customHeight="1"/>
    <row r="57" spans="1:10" ht="15" customHeight="1">
      <c r="I57" s="23"/>
    </row>
    <row r="58" spans="1:10"/>
    <row r="59" spans="1:10" ht="15" customHeight="1">
      <c r="J59" s="23"/>
    </row>
    <row r="60" spans="1:10" ht="15" customHeight="1"/>
    <row r="61" spans="1:10" ht="15" customHeight="1"/>
    <row r="62" spans="1:10" ht="15" customHeight="1"/>
    <row r="63" spans="1:10" ht="15" customHeight="1"/>
    <row r="64" spans="1:10" ht="15" customHeight="1"/>
    <row r="65" spans="9:9" ht="15" customHeight="1"/>
    <row r="66" spans="9:9" ht="15" customHeight="1">
      <c r="I66" s="23"/>
    </row>
    <row r="67" spans="9:9"/>
    <row r="68" spans="9:9" ht="15" customHeight="1"/>
    <row r="69" spans="9:9" ht="15" customHeight="1"/>
    <row r="70" spans="9:9" ht="15" customHeight="1"/>
    <row r="71" spans="9:9" ht="15" customHeight="1"/>
    <row r="72" spans="9:9" ht="15" customHeight="1"/>
    <row r="73" spans="9:9" ht="15" customHeight="1"/>
  </sheetData>
  <mergeCells count="14">
    <mergeCell ref="A48:H49"/>
    <mergeCell ref="A47:F47"/>
    <mergeCell ref="A42:F42"/>
    <mergeCell ref="A1:H1"/>
    <mergeCell ref="A7:H7"/>
    <mergeCell ref="A36:A39"/>
    <mergeCell ref="A40:F40"/>
    <mergeCell ref="D17:F17"/>
    <mergeCell ref="D18:F18"/>
    <mergeCell ref="D19:F19"/>
    <mergeCell ref="D26:F26"/>
    <mergeCell ref="D27:F27"/>
    <mergeCell ref="D28:F28"/>
    <mergeCell ref="B31:F31"/>
  </mergeCells>
  <conditionalFormatting sqref="G31 G21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fitToHeight="0" orientation="landscape" r:id="rId1"/>
  <rowBreaks count="2" manualBreakCount="2">
    <brk id="20" max="7" man="1"/>
    <brk id="30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Mk II</dc:creator>
  <cp:keywords/>
  <dc:description/>
  <cp:lastModifiedBy/>
  <cp:revision/>
  <dcterms:created xsi:type="dcterms:W3CDTF">2025-10-18T03:22:53Z</dcterms:created>
  <dcterms:modified xsi:type="dcterms:W3CDTF">2025-12-09T04:06:39Z</dcterms:modified>
  <cp:category/>
  <cp:contentStatus/>
</cp:coreProperties>
</file>